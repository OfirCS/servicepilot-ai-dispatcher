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d2dc2a501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39013ed71a44c5"/>
    <x:sheet xmlns:r="http://schemas.openxmlformats.org/officeDocument/2006/relationships" name="Funnel_Model" sheetId="2" r:id="R553634986cb946d1"/>
    <x:sheet xmlns:r="http://schemas.openxmlformats.org/officeDocument/2006/relationships" name="Source_Data" sheetId="3" r:id="R4ae2049922f34380"/>
    <x:sheet xmlns:r="http://schemas.openxmlformats.org/officeDocument/2006/relationships" name="Launch_Checklist" sheetId="4" r:id="Rc59e35bc9b64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%"/>
    <x:numFmt numFmtId="202" formatCode="0&quot; sec&quot;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D9E8DE"/>
      <x:name val="Carlito"/>
    </x:font>
    <x:font>
      <x:sz val="10"/>
      <x:color rgb="FFD9E8DE"/>
      <x:name val="Carlito"/>
    </x:font>
    <x:font>
      <x:b/>
      <x:sz val="11"/>
      <x:color rgb="FF17201B"/>
      <x:name val="Carlito"/>
    </x:font>
    <x:font>
      <x:sz val="11"/>
      <x:color rgb="FF17201B"/>
      <x:name val="Carlito"/>
    </x:font>
    <x:font>
      <x:b/>
      <x:sz val="11"/>
      <x:color rgb="FF17201B"/>
      <x:name val="Aptos"/>
    </x:font>
    <x:font>
      <x:sz val="11"/>
      <x:color rgb="FF17201B"/>
      <x:name val="Aptos"/>
    </x:font>
    <x:font>
      <x:b/>
      <x:sz val="18"/>
      <x:color rgb="FFFFFFFF"/>
      <x:name val="Aptos"/>
    </x:font>
    <x:font>
      <x:b/>
      <x:sz val="10"/>
      <x:color rgb="FFD9E8DE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4"/>
      </x:patternFill>
    </x:fill>
    <x:fill>
      <x:patternFill patternType="solid">
        <x:fgColor rgb="FFEAF4EE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DE3DE"/>
      </x:left>
      <x:right style="thin">
        <x:color rgb="FFDDE3DE"/>
      </x:right>
      <x:top style="thin">
        <x:color rgb="FFDDE3DE"/>
      </x:top>
      <x:bottom style="thin">
        <x:color rgb="FFDDE3DE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vertical="center"/>
    </x:xf>
    <x:xf numFmtId="202" fontId="5" fillId="4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61f9ab7ff4df1" /><Relationship Type="http://schemas.openxmlformats.org/officeDocument/2006/relationships/theme" Target="/xl/theme/theme1.xml" Id="R07dc201c480e4cef" /><Relationship Type="http://schemas.openxmlformats.org/officeDocument/2006/relationships/sharedStrings" Target="/xl/sharedStrings.xml" Id="R2bbc6aa59b5e44e6" /><Relationship Type="http://schemas.openxmlformats.org/officeDocument/2006/relationships/worksheet" Target="/xl/worksheets/sheet1.xml" Id="R4039013ed71a44c5" /><Relationship Type="http://schemas.openxmlformats.org/officeDocument/2006/relationships/worksheet" Target="/xl/worksheets/sheet2.xml" Id="R553634986cb946d1" /><Relationship Type="http://schemas.openxmlformats.org/officeDocument/2006/relationships/worksheet" Target="/xl/worksheets/sheet3.xml" Id="R4ae2049922f34380" /><Relationship Type="http://schemas.openxmlformats.org/officeDocument/2006/relationships/worksheet" Target="/xl/worksheets/sheet4.xml" Id="Rc59e35bc9b6441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a7dc454bd44e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17bf16fc1bc4a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Recovered Revenue Ramp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Recovered revenue</c:v>
          </c:tx>
          <c:cat>
            <c:strLit>
              <c:ptCount val="4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</c:strLit>
          </c:cat>
          <c:val>
            <c:numLit>
              <c:formatCode>General</c:formatCode>
              <c:ptCount val="4"/>
              <c:pt idx="0">
                <c:v>450</c:v>
              </c:pt>
              <c:pt idx="1">
                <c:v>1250</c:v>
              </c:pt>
              <c:pt idx="2">
                <c:v>2450</c:v>
              </c:pt>
              <c:pt idx="3">
                <c:v>4200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Funnel Conversion by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Recovered conversations</c:v>
          </c:tx>
          <c:cat>
            <c:strLit>
              <c:ptCount val="4"/>
              <c:pt idx="0">
                <c:v>Week 1</c:v>
              </c:pt>
              <c:pt idx="1">
                <c:v>Week 2</c:v>
              </c:pt>
              <c:pt idx="2">
                <c:v>Week 3</c:v>
              </c:pt>
              <c:pt idx="3">
                <c:v>Week 4</c:v>
              </c:pt>
            </c:strLit>
          </c:cat>
          <c:val>
            <c:numLit>
              <c:formatCode>General</c:formatCode>
              <c:ptCount val="4"/>
              <c:pt idx="0">
                <c:v>4</c:v>
              </c:pt>
              <c:pt idx="1">
                <c:v>10</c:v>
              </c:pt>
              <c:pt idx="2">
                <c:v>19</c:v>
              </c:pt>
              <c:pt idx="3">
                <c:v>34</c:v>
              </c:pt>
            </c:numLit>
          </c:val>
        </c:ser>
        <c:ser>
          <c:idx val="1"/>
          <c:order val="1"/>
          <c:tx>
            <c:v>Booked jobs</c:v>
          </c:tx>
          <c:cat>
            <c:strLit>
              <c:ptCount val="4"/>
              <c:pt idx="0">
                <c:v>Week 1</c:v>
              </c:pt>
              <c:pt idx="1">
                <c:v>Week 2</c:v>
              </c:pt>
              <c:pt idx="2">
                <c:v>Week 3</c:v>
              </c:pt>
              <c:pt idx="3">
                <c:v>Week 4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4</c:v>
              </c:pt>
              <c:pt idx="2">
                <c:v>8</c:v>
              </c:pt>
              <c:pt idx="3">
                <c:v>15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4953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a7dc454bd44eb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12</xdr:row>
      <xdr:rowOff>0</xdr:rowOff>
    </xdr:from>
    <xdr:ext cx="590550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7bf16fc1bc4abe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2998669c97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1178b30d40c4a84" /></Relationships>
</file>

<file path=xl/worksheets/sheet1.xml><?xml version="1.0" encoding="utf-8"?>
<x:worksheet xmlns:x="http://schemas.openxmlformats.org/spreadsheetml/2006/main">
  <x:sheetFormatPr defaultRowHeight="15"/>
  <x:cols>
    <x:col min="1" max="1" width="77.66999816894531" hidden="0" customWidth="1"/>
    <x:col min="2" max="2" width="19.559999465942383" hidden="0" customWidth="1"/>
    <x:col min="3" max="3" width="34.439998626708984" hidden="0" customWidth="1"/>
    <x:col min="4" max="4" width="28" hidden="0" customWidth="1"/>
    <x:col min="5" max="5" width="15.329999923706055" hidden="0" customWidth="1"/>
    <x:col min="6" max="6" width="10.109999656677246" hidden="0" customWidth="1"/>
    <x:col min="7" max="7" width="14.890000343322754" hidden="0" customWidth="1"/>
    <x:col min="8" max="8" width="15.5600004196167" hidden="0" customWidth="1"/>
  </x:cols>
  <x:sheetData>
    <x:row r="1">
      <x:c r="A1" s="22" t="str">
        <x:v>ServicePilot YC MVP Dashboard</x:v>
      </x:c>
      <x:c r="B1" s="22"/>
      <x:c r="C1" s="22"/>
      <x:c r="D1" s="22"/>
      <x:c r="E1" s="22"/>
      <x:c r="F1" s="22"/>
      <x:c r="G1" s="22"/>
      <x:c r="H1" s="22"/>
      <x:c r="I1" s="20"/>
      <x:c r="J1" s="20"/>
      <x:c r="K1" s="20"/>
    </x:row>
    <x:row r="2">
      <x:c r="A2" s="7" t="str">
        <x:v>AI Growth Dispatcher for garage door companies: missed-call recovery, SMS qualification, booking, review requests.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New leads</x:v>
      </x:c>
      <x:c r="B4" s="11" t="str">
        <x:v>Missed calls recovered</x:v>
      </x:c>
      <x:c r="C4" s="11" t="str">
        <x:v>Jobs booked</x:v>
      </x:c>
      <x:c r="D4" s="11" t="str">
        <x:v>Estimated revenue</x:v>
      </x:c>
      <x:c r="E4" s="11" t="str">
        <x:v>Reviews requested</x:v>
      </x:c>
      <x:c r="F4" s="11" t="str">
        <x:v>Close rate</x:v>
      </x:c>
      <x:c r="G4" s="11" t="str">
        <x:v>Avg response time</x:v>
      </x:c>
      <x:c r="H4" s="11" t="str">
        <x:v>Target segment</x:v>
      </x:c>
    </x:row>
    <x:row r="5">
      <x:c r="A5" s="15" t="n">
        <x:f>COUNTA(Source_Data!A4:A200)</x:f>
        <x:v>7</x:v>
      </x:c>
      <x:c r="B5" s="15" t="n">
        <x:f>COUNTIF(Source_Data!D4:D200,"missed_call")</x:f>
        <x:v>4</x:v>
      </x:c>
      <x:c r="C5" s="15" t="n">
        <x:f>COUNTIF(Source_Data!H4:H200,"booked")</x:f>
        <x:v>3</x:v>
      </x:c>
      <x:c r="D5" s="16" t="n">
        <x:f>SUM(Source_Data!I4:I200)</x:f>
        <x:v>2975</x:v>
      </x:c>
      <x:c r="E5" s="15" t="n">
        <x:f>COUNTIF(Source_Data!J4:J200,"review_sent")</x:f>
        <x:v>2</x:v>
      </x:c>
      <x:c r="F5" s="17" t="n">
        <x:f>IFERROR(C5/A5,0)</x:f>
        <x:v>0.42857142857142855</x:v>
      </x:c>
      <x:c r="G5" s="18" t="n">
        <x:f>45</x:f>
        <x:v>45</x:v>
      </x:c>
      <x:c r="H5" s="15" t="str">
        <x:f>"Garage doors first"</x:f>
        <x:v>Garage doors first</x:v>
      </x:c>
    </x:row>
    <x:row r="8">
      <x:c r="A8" s="11" t="str">
        <x:v>Launch thesis</x:v>
      </x:c>
      <x:c r="B8" s="11" t="str">
        <x:v>Proof metric</x:v>
      </x:c>
      <x:c r="C8" s="11" t="str">
        <x:v>Why it matters</x:v>
      </x:c>
      <x:c r="D8" s="11" t="str">
        <x:v>Next evidence</x:v>
      </x:c>
      <x:c r="F8" s="11" t="str">
        <x:v>Chart helper</x:v>
      </x:c>
      <x:c r="G8" s="11" t="str">
        <x:v>Week</x:v>
      </x:c>
      <x:c r="H8" s="11" t="str">
        <x:v>Recovered revenue</x:v>
      </x:c>
    </x:row>
    <x:row r="9">
      <x:c r="A9" s="15" t="str">
        <x:v>Missed-call recovery is the wedge</x:v>
      </x:c>
      <x:c r="B9" s="15" t="str">
        <x:v>4 recovered calls / 7 leads</x:v>
      </x:c>
      <x:c r="C9" s="15" t="str">
        <x:v>High-intent calls are expensive and perishable.</x:v>
      </x:c>
      <x:c r="D9" s="15" t="str">
        <x:v>Run with 2-3 garage door companies.</x:v>
      </x:c>
      <x:c r="F9" s="15" t="str">
        <x:v>Week 1</x:v>
      </x:c>
      <x:c r="G9" s="15" t="str">
        <x:v>W1</x:v>
      </x:c>
      <x:c r="H9" s="16" t="n">
        <x:v>450</x:v>
      </x:c>
    </x:row>
    <x:row r="10">
      <x:c r="A10" s="15" t="str">
        <x:v>SMS intake is safer than voice AI first</x:v>
      </x:c>
      <x:c r="B10" s="15" t="str">
        <x:v>45 sec response target</x:v>
      </x:c>
      <x:c r="C10" s="15" t="str">
        <x:v>Fast to ship, easy to inspect, lower risk.</x:v>
      </x:c>
      <x:c r="D10" s="15" t="str">
        <x:v>Measure replies and booked jobs.</x:v>
      </x:c>
      <x:c r="F10" s="15" t="str">
        <x:v>Week 2</x:v>
      </x:c>
      <x:c r="G10" s="15" t="str">
        <x:v>W2</x:v>
      </x:c>
      <x:c r="H10" s="16" t="n">
        <x:v>1250</x:v>
      </x:c>
    </x:row>
    <x:row r="11">
      <x:c r="A11" s="15" t="str">
        <x:v>Owner summary creates immediate utility</x:v>
      </x:c>
      <x:c r="B11" s="15" t="str">
        <x:v>$1,250 demo pipeline</x:v>
      </x:c>
      <x:c r="C11" s="15" t="str">
        <x:v>Technicians need dispatch-ready context.</x:v>
      </x:c>
      <x:c r="D11" s="15" t="str">
        <x:v>Track revenue recovered weekly.</x:v>
      </x:c>
      <x:c r="F11" s="15" t="str">
        <x:v>Week 3</x:v>
      </x:c>
      <x:c r="G11" s="15" t="str">
        <x:v>W3</x:v>
      </x:c>
      <x:c r="H11" s="16" t="n">
        <x:v>2450</x:v>
      </x:c>
    </x:row>
    <x:row r="12">
      <x:c r="A12" s="15" t="str">
        <x:v>Review loop compounds growth</x:v>
      </x:c>
      <x:c r="B12" s="15" t="str">
        <x:v>2 review requests</x:v>
      </x:c>
      <x:c r="C12" s="15" t="str">
        <x:v>Local service ranking depends on reviews.</x:v>
      </x:c>
      <x:c r="D12" s="15" t="str">
        <x:v>Track review conversion rate.</x:v>
      </x:c>
      <x:c r="F12" s="15" t="str">
        <x:v>Week 4</x:v>
      </x:c>
      <x:c r="G12" s="15" t="str">
        <x:v>W4</x:v>
      </x:c>
      <x:c r="H12" s="16" t="n">
        <x:v>4200</x:v>
      </x:c>
    </x:row>
  </x:sheetData>
  <x:pageMargins left="0.7" right="0.7" top="0.75" bottom="0.75" header="0.3" footer="0.3"/>
  <x:drawing xmlns:r="http://schemas.openxmlformats.org/officeDocument/2006/relationships" r:id="R9f2998669c974dea"/>
</x:worksheet>
</file>

<file path=xl/worksheets/sheet2.xml><?xml version="1.0" encoding="utf-8"?>
<x:worksheet xmlns:x="http://schemas.openxmlformats.org/spreadsheetml/2006/main">
  <x:sheetFormatPr defaultRowHeight="15"/>
  <x:cols>
    <x:col min="1" max="1" width="40.66999816894531" hidden="0" customWidth="1"/>
    <x:col min="2" max="2" width="6.110000133514404" hidden="0" customWidth="1"/>
    <x:col min="3" max="3" width="6.110000133514404" hidden="0" customWidth="1"/>
    <x:col min="4" max="4" width="6.110000133514404" hidden="0" customWidth="1"/>
    <x:col min="5" max="5" width="6.110000133514404" hidden="0" customWidth="1"/>
    <x:col min="6" max="6" width="33" hidden="0" customWidth="1"/>
  </x:cols>
  <x:sheetData>
    <x:row r="1">
      <x:c r="A1" s="22" t="str">
        <x:v>Weekly Funnel Model</x:v>
      </x:c>
      <x:c r="B1" s="22"/>
      <x:c r="C1" s="22"/>
      <x:c r="D1" s="22"/>
      <x:c r="E1" s="22"/>
      <x:c r="F1" s="22"/>
      <x:c r="G1" s="20"/>
      <x:c r="H1" s="20"/>
      <x:c r="I1" s="20"/>
      <x:c r="J1" s="20"/>
      <x:c r="K1" s="20"/>
    </x:row>
    <x:row r="2">
      <x:c r="A2" s="7" t="str">
        <x:v>Four-week launch funnel for first garage-door pilot accounts.</x:v>
      </x:c>
      <x:c r="B2" s="7"/>
      <x:c r="C2" s="7"/>
      <x:c r="D2" s="7"/>
      <x:c r="E2" s="7"/>
      <x:c r="F2" s="7"/>
    </x:row>
    <x:row r="3">
      <x:c r="A3" s="11" t="str">
        <x:v>Stage</x:v>
      </x:c>
      <x:c r="B3" s="11" t="str">
        <x:v>Week 1</x:v>
      </x:c>
      <x:c r="C3" s="11" t="str">
        <x:v>Week 2</x:v>
      </x:c>
      <x:c r="D3" s="11" t="str">
        <x:v>Week 3</x:v>
      </x:c>
      <x:c r="E3" s="11" t="str">
        <x:v>Week 4</x:v>
      </x:c>
      <x:c r="F3" s="11" t="str">
        <x:v>Notes</x:v>
      </x:c>
    </x:row>
    <x:row r="4">
      <x:c r="A4" s="15" t="str">
        <x:v>Missed calls</x:v>
      </x:c>
      <x:c r="B4" s="15" t="n">
        <x:v>8</x:v>
      </x:c>
      <x:c r="C4" s="15" t="n">
        <x:v>18</x:v>
      </x:c>
      <x:c r="D4" s="15" t="n">
        <x:v>30</x:v>
      </x:c>
      <x:c r="E4" s="15" t="n">
        <x:v>48</x:v>
      </x:c>
      <x:c r="F4" s="15" t="str">
        <x:v>Calls that were not answered by owner/tech.</x:v>
      </x:c>
    </x:row>
    <x:row r="5">
      <x:c r="A5" s="15" t="str">
        <x:v>Recovered conversations</x:v>
      </x:c>
      <x:c r="B5" s="15" t="n">
        <x:v>4</x:v>
      </x:c>
      <x:c r="C5" s="15" t="n">
        <x:v>10</x:v>
      </x:c>
      <x:c r="D5" s="15" t="n">
        <x:v>19</x:v>
      </x:c>
      <x:c r="E5" s="15" t="n">
        <x:v>34</x:v>
      </x:c>
      <x:c r="F5" s="15" t="str">
        <x:v>SMS replies after missed-call recovery.</x:v>
      </x:c>
    </x:row>
    <x:row r="6">
      <x:c r="A6" s="15" t="str">
        <x:v>Qualified leads</x:v>
      </x:c>
      <x:c r="B6" s="15" t="n">
        <x:v>3</x:v>
      </x:c>
      <x:c r="C6" s="15" t="n">
        <x:v>8</x:v>
      </x:c>
      <x:c r="D6" s="15" t="n">
        <x:v>15</x:v>
      </x:c>
      <x:c r="E6" s="15" t="n">
        <x:v>27</x:v>
      </x:c>
      <x:c r="F6" s="15" t="str">
        <x:v>AI collected enough info for dispatch.</x:v>
      </x:c>
    </x:row>
    <x:row r="7">
      <x:c r="A7" s="15" t="str">
        <x:v>Booked jobs</x:v>
      </x:c>
      <x:c r="B7" s="15" t="n">
        <x:v>1</x:v>
      </x:c>
      <x:c r="C7" s="15" t="n">
        <x:v>4</x:v>
      </x:c>
      <x:c r="D7" s="15" t="n">
        <x:v>8</x:v>
      </x:c>
      <x:c r="E7" s="15" t="n">
        <x:v>15</x:v>
      </x:c>
      <x:c r="F7" s="15" t="str">
        <x:v>Owner accepted or booked appointment.</x:v>
      </x:c>
    </x:row>
    <x:row r="8">
      <x:c r="A8" s="15" t="str">
        <x:v>Completed jobs</x:v>
      </x:c>
      <x:c r="B8" s="15" t="n">
        <x:v>1</x:v>
      </x:c>
      <x:c r="C8" s="15" t="n">
        <x:v>3</x:v>
      </x:c>
      <x:c r="D8" s="15" t="n">
        <x:v>7</x:v>
      </x:c>
      <x:c r="E8" s="15" t="n">
        <x:v>13</x:v>
      </x:c>
      <x:c r="F8" s="15" t="str">
        <x:v>Marked complete.</x:v>
      </x:c>
    </x:row>
    <x:row r="9">
      <x:c r="A9" s="15" t="str">
        <x:v>Reviews requested</x:v>
      </x:c>
      <x:c r="B9" s="15" t="n">
        <x:v>1</x:v>
      </x:c>
      <x:c r="C9" s="15" t="n">
        <x:v>3</x:v>
      </x:c>
      <x:c r="D9" s="15" t="n">
        <x:v>7</x:v>
      </x:c>
      <x:c r="E9" s="15" t="n">
        <x:v>13</x:v>
      </x:c>
      <x:c r="F9" s="15" t="str">
        <x:v>Automated review request sent.</x:v>
      </x:c>
    </x:row>
    <x:row r="10">
      <x:c r="A10" s="15" t="str">
        <x:v>Revenue recovered</x:v>
      </x:c>
      <x:c r="B10" s="16" t="n">
        <x:v>450</x:v>
      </x:c>
      <x:c r="C10" s="16" t="n">
        <x:v>1250</x:v>
      </x:c>
      <x:c r="D10" s="16" t="n">
        <x:v>2450</x:v>
      </x:c>
      <x:c r="E10" s="16" t="n">
        <x:v>4200</x:v>
      </x:c>
      <x:c r="F10" s="15" t="str">
        <x:v>Estimated or completed revenue.</x:v>
      </x:c>
    </x:row>
  </x:sheetData>
  <x:pageMargins left="0.7" right="0.7" top="0.75" bottom="0.75" header="0.3" footer="0.3"/>
  <x:drawing xmlns:r="http://schemas.openxmlformats.org/officeDocument/2006/relationships" r:id="Re1178b30d40c4a84"/>
</x:worksheet>
</file>

<file path=xl/worksheets/sheet3.xml><?xml version="1.0" encoding="utf-8"?>
<x:worksheet xmlns:x="http://schemas.openxmlformats.org/spreadsheetml/2006/main">
  <x:sheetFormatPr defaultRowHeight="15"/>
  <x:cols>
    <x:col min="1" max="1" width="38.33000183105469" hidden="0" customWidth="1"/>
    <x:col min="2" max="2" width="10.779999732971191" hidden="0" customWidth="1"/>
    <x:col min="3" max="3" width="12.779999732971191" hidden="0" customWidth="1"/>
    <x:col min="4" max="4" width="10.329999923706055" hidden="0" customWidth="1"/>
    <x:col min="5" max="5" width="8.220000267028809" hidden="0" customWidth="1"/>
    <x:col min="6" max="6" width="19.110000610351562" hidden="0" customWidth="1"/>
    <x:col min="7" max="7" width="8.5600004196167" hidden="0" customWidth="1"/>
    <x:col min="8" max="8" width="7" hidden="0" customWidth="1"/>
    <x:col min="9" max="9" width="15.5600004196167" hidden="0" customWidth="1"/>
    <x:col min="10" max="10" width="13" hidden="0" customWidth="1"/>
  </x:cols>
  <x:sheetData>
    <x:row r="1">
      <x:c r="A1" s="22" t="str">
        <x:v>Source Data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0"/>
    </x:row>
    <x:row r="2">
      <x:c r="A2" s="7" t="str">
        <x:v>Editable demo CRM export used by dashboard formulas.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1" t="str">
        <x:v>Lead ID</x:v>
      </x:c>
      <x:c r="B3" s="11" t="str">
        <x:v>Customer</x:v>
      </x:c>
      <x:c r="C3" s="11" t="str">
        <x:v>Phone</x:v>
      </x:c>
      <x:c r="D3" s="11" t="str">
        <x:v>Source</x:v>
      </x:c>
      <x:c r="E3" s="11" t="str">
        <x:v>City</x:v>
      </x:c>
      <x:c r="F3" s="11" t="str">
        <x:v>Issue</x:v>
      </x:c>
      <x:c r="G3" s="11" t="str">
        <x:v>Urgency</x:v>
      </x:c>
      <x:c r="H3" s="11" t="str">
        <x:v>Status</x:v>
      </x:c>
      <x:c r="I3" s="11" t="str">
        <x:v>Estimated Revenue</x:v>
      </x:c>
      <x:c r="J3" s="11" t="str">
        <x:v>Followup Status</x:v>
      </x:c>
    </x:row>
    <x:row r="4">
      <x:c r="A4" s="15" t="str">
        <x:v>LD-2051</x:v>
      </x:c>
      <x:c r="B4" s="15" t="str">
        <x:v>David</x:v>
      </x:c>
      <x:c r="C4" s="15" t="str">
        <x:v>+1 416 555 0184</x:v>
      </x:c>
      <x:c r="D4" s="15" t="str">
        <x:v>missed_call</x:v>
      </x:c>
      <x:c r="E4" s="15" t="str">
        <x:v>North York</x:v>
      </x:c>
      <x:c r="F4" s="15" t="str">
        <x:v>garage door stuck closed</x:v>
      </x:c>
      <x:c r="G4" s="15" t="str">
        <x:v>emergency</x:v>
      </x:c>
      <x:c r="H4" s="15" t="str">
        <x:v>qualified</x:v>
      </x:c>
      <x:c r="I4" s="16" t="n">
        <x:v>475</x:v>
      </x:c>
      <x:c r="J4" s="15" t="str">
        <x:v>scheduled</x:v>
      </x:c>
    </x:row>
    <x:row r="5">
      <x:c r="A5" s="15" t="str">
        <x:v>LD-2052</x:v>
      </x:c>
      <x:c r="B5" s="15" t="str">
        <x:v>Rachel Kim</x:v>
      </x:c>
      <x:c r="C5" s="15" t="str">
        <x:v>+1 416 555 0185</x:v>
      </x:c>
      <x:c r="D5" s="15" t="str">
        <x:v>inbound_sms</x:v>
      </x:c>
      <x:c r="E5" s="15" t="str">
        <x:v>Toronto</x:v>
      </x:c>
      <x:c r="F5" s="15" t="str">
        <x:v>broken torsion spring</x:v>
      </x:c>
      <x:c r="G5" s="15" t="str">
        <x:v>same_day</x:v>
      </x:c>
      <x:c r="H5" s="15" t="str">
        <x:v>booked</x:v>
      </x:c>
      <x:c r="I5" s="16" t="n">
        <x:v>650</x:v>
      </x:c>
      <x:c r="J5" s="15" t="str">
        <x:v>review_sent</x:v>
      </x:c>
    </x:row>
    <x:row r="6">
      <x:c r="A6" s="15" t="str">
        <x:v>LD-2053</x:v>
      </x:c>
      <x:c r="B6" s="15" t="str">
        <x:v>Omar Haddad</x:v>
      </x:c>
      <x:c r="C6" s="15" t="str">
        <x:v>+1 647 555 0198</x:v>
      </x:c>
      <x:c r="D6" s="15" t="str">
        <x:v>website</x:v>
      </x:c>
      <x:c r="E6" s="15" t="str">
        <x:v>Vaughan</x:v>
      </x:c>
      <x:c r="F6" s="15" t="str">
        <x:v>opener not responding</x:v>
      </x:c>
      <x:c r="G6" s="15" t="str">
        <x:v>normal</x:v>
      </x:c>
      <x:c r="H6" s="15" t="str">
        <x:v>captured</x:v>
      </x:c>
      <x:c r="I6" s="16" t="n">
        <x:v>225</x:v>
      </x:c>
      <x:c r="J6" s="15" t="str">
        <x:v>scheduled</x:v>
      </x:c>
    </x:row>
    <x:row r="7">
      <x:c r="A7" s="15" t="str">
        <x:v>LD-2054</x:v>
      </x:c>
      <x:c r="B7" s="15" t="str">
        <x:v>Lena Patel</x:v>
      </x:c>
      <x:c r="C7" s="15" t="str">
        <x:v>+1 905 555 0131</x:v>
      </x:c>
      <x:c r="D7" s="15" t="str">
        <x:v>missed_call</x:v>
      </x:c>
      <x:c r="E7" s="15" t="str">
        <x:v>Toronto</x:v>
      </x:c>
      <x:c r="F7" s="15" t="str">
        <x:v>smart lock install</x:v>
      </x:c>
      <x:c r="G7" s="15" t="str">
        <x:v>quote</x:v>
      </x:c>
      <x:c r="H7" s="15" t="str">
        <x:v>captured</x:v>
      </x:c>
      <x:c r="I7" s="16" t="n">
        <x:v>250</x:v>
      </x:c>
      <x:c r="J7" s="15" t="str">
        <x:v>scheduled</x:v>
      </x:c>
    </x:row>
    <x:row r="8">
      <x:c r="A8" s="15" t="str">
        <x:v>LD-2055</x:v>
      </x:c>
      <x:c r="B8" s="15" t="str">
        <x:v>Mina Cho</x:v>
      </x:c>
      <x:c r="C8" s="15" t="str">
        <x:v>+1 416 555 0189</x:v>
      </x:c>
      <x:c r="D8" s="15" t="str">
        <x:v>missed_call</x:v>
      </x:c>
      <x:c r="E8" s="15" t="str">
        <x:v>North York</x:v>
      </x:c>
      <x:c r="F8" s="15" t="str">
        <x:v>cable off drum</x:v>
      </x:c>
      <x:c r="G8" s="15" t="str">
        <x:v>same_day</x:v>
      </x:c>
      <x:c r="H8" s="15" t="str">
        <x:v>booked</x:v>
      </x:c>
      <x:c r="I8" s="16" t="n">
        <x:v>525</x:v>
      </x:c>
      <x:c r="J8" s="15" t="str">
        <x:v>review_sent</x:v>
      </x:c>
    </x:row>
    <x:row r="9">
      <x:c r="A9" s="15" t="str">
        <x:v>LD-2056</x:v>
      </x:c>
      <x:c r="B9" s="15" t="str">
        <x:v>Jon Mills</x:v>
      </x:c>
      <x:c r="C9" s="15" t="str">
        <x:v>+1 647 555 0144</x:v>
      </x:c>
      <x:c r="D9" s="15" t="str">
        <x:v>inbound_sms</x:v>
      </x:c>
      <x:c r="E9" s="15" t="str">
        <x:v>Etobicoke</x:v>
      </x:c>
      <x:c r="F9" s="15" t="str">
        <x:v>maintenance</x:v>
      </x:c>
      <x:c r="G9" s="15" t="str">
        <x:v>normal</x:v>
      </x:c>
      <x:c r="H9" s="15" t="str">
        <x:v>lost</x:v>
      </x:c>
      <x:c r="I9" s="16" t="n">
        <x:v>125</x:v>
      </x:c>
      <x:c r="J9" s="15" t="str">
        <x:v>cancelled</x:v>
      </x:c>
    </x:row>
    <x:row r="10">
      <x:c r="A10" s="15" t="str">
        <x:v>LD-2057</x:v>
      </x:c>
      <x:c r="B10" s="15" t="str">
        <x:v>Priya Shah</x:v>
      </x:c>
      <x:c r="C10" s="15" t="str">
        <x:v>+1 416 555 0166</x:v>
      </x:c>
      <x:c r="D10" s="15" t="str">
        <x:v>missed_call</x:v>
      </x:c>
      <x:c r="E10" s="15" t="str">
        <x:v>Vaughan</x:v>
      </x:c>
      <x:c r="F10" s="15" t="str">
        <x:v>door stuck open</x:v>
      </x:c>
      <x:c r="G10" s="15" t="str">
        <x:v>emergency</x:v>
      </x:c>
      <x:c r="H10" s="15" t="str">
        <x:v>booked</x:v>
      </x:c>
      <x:c r="I10" s="16" t="n">
        <x:v>725</x:v>
      </x:c>
      <x:c r="J10" s="15" t="str">
        <x:v>scheduled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.670000076293945" hidden="0" customWidth="1"/>
    <x:col min="2" max="2" width="40.66999816894531" hidden="0" customWidth="1"/>
    <x:col min="3" max="3" width="8.890000343322754" hidden="0" customWidth="1"/>
    <x:col min="4" max="4" width="9" hidden="0" customWidth="1"/>
  </x:cols>
  <x:sheetData>
    <x:row r="1">
      <x:c r="A1" s="22" t="str">
        <x:v>Launch Checklist</x:v>
      </x:c>
      <x:c r="B1" s="22"/>
      <x:c r="C1" s="22"/>
      <x:c r="D1" s="22"/>
      <x:c r="E1" s="20"/>
      <x:c r="F1" s="20"/>
      <x:c r="G1" s="20"/>
      <x:c r="H1" s="20"/>
      <x:c r="I1" s="20"/>
      <x:c r="J1" s="20"/>
      <x:c r="K1" s="20"/>
    </x:row>
    <x:row r="2">
      <x:c r="A2" s="7" t="str">
        <x:v>Production setup and first-pilot workstream.</x:v>
      </x:c>
      <x:c r="B2" s="7"/>
      <x:c r="C2" s="7"/>
      <x:c r="D2" s="7"/>
    </x:row>
    <x:row r="3">
      <x:c r="A3" s="11" t="str">
        <x:v>Area</x:v>
      </x:c>
      <x:c r="B3" s="11" t="str">
        <x:v>Task</x:v>
      </x:c>
      <x:c r="C3" s="11" t="str">
        <x:v>Owner</x:v>
      </x:c>
      <x:c r="D3" s="11" t="str">
        <x:v>Status</x:v>
      </x:c>
    </x:row>
    <x:row r="4">
      <x:c r="A4" s="15" t="str">
        <x:v>Supabase</x:v>
      </x:c>
      <x:c r="B4" s="15" t="str">
        <x:v>Run migration and confirm RLS policies.</x:v>
      </x:c>
      <x:c r="C4" s="15" t="str">
        <x:v>Founder</x:v>
      </x:c>
      <x:c r="D4" s="15" t="str">
        <x:v>Ready</x:v>
      </x:c>
    </x:row>
    <x:row r="5">
      <x:c r="A5" s="15" t="str">
        <x:v>Twilio</x:v>
      </x:c>
      <x:c r="B5" s="15" t="str">
        <x:v>Point voice webhook to /api/twilio/inbound-call.</x:v>
      </x:c>
      <x:c r="C5" s="15" t="str">
        <x:v>Founder</x:v>
      </x:c>
      <x:c r="D5" s="15" t="str">
        <x:v>Needs keys</x:v>
      </x:c>
    </x:row>
    <x:row r="6">
      <x:c r="A6" s="15" t="str">
        <x:v>Twilio</x:v>
      </x:c>
      <x:c r="B6" s="15" t="str">
        <x:v>Point messaging webhook to /api/twilio/inbound-sms.</x:v>
      </x:c>
      <x:c r="C6" s="15" t="str">
        <x:v>Founder</x:v>
      </x:c>
      <x:c r="D6" s="15" t="str">
        <x:v>Needs keys</x:v>
      </x:c>
    </x:row>
    <x:row r="7">
      <x:c r="A7" s="15" t="str">
        <x:v>Netlify</x:v>
      </x:c>
      <x:c r="B7" s="15" t="str">
        <x:v>Set env vars from .env.example.</x:v>
      </x:c>
      <x:c r="C7" s="15" t="str">
        <x:v>Founder</x:v>
      </x:c>
      <x:c r="D7" s="15" t="str">
        <x:v>Ready</x:v>
      </x:c>
    </x:row>
    <x:row r="8">
      <x:c r="A8" s="15" t="str">
        <x:v>Demo</x:v>
      </x:c>
      <x:c r="B8" s="15" t="str">
        <x:v>Run missed-call simulator on sales call.</x:v>
      </x:c>
      <x:c r="C8" s="15" t="str">
        <x:v>Founder</x:v>
      </x:c>
      <x:c r="D8" s="15" t="str">
        <x:v>Ready</x:v>
      </x:c>
    </x:row>
    <x:row r="9">
      <x:c r="A9" s="15" t="str">
        <x:v>Pilot</x:v>
      </x:c>
      <x:c r="B9" s="15" t="str">
        <x:v>Onboard first garage door company.</x:v>
      </x:c>
      <x:c r="C9" s="15" t="str">
        <x:v>Founder</x:v>
      </x:c>
      <x:c r="D9" s="15" t="str">
        <x:v>Next</x:v>
      </x:c>
    </x:row>
    <x:row r="10">
      <x:c r="A10" s="15" t="str">
        <x:v>Pilot</x:v>
      </x:c>
      <x:c r="B10" s="15" t="str">
        <x:v>Track recovered calls, booked jobs, revenue recovered.</x:v>
      </x:c>
      <x:c r="C10" s="15" t="str">
        <x:v>Founder</x:v>
      </x:c>
      <x:c r="D10" s="15" t="str">
        <x:v>Next</x:v>
      </x:c>
    </x:row>
    <x:row r="11">
      <x:c r="A11" s="15" t="str">
        <x:v>Marketing</x:v>
      </x:c>
      <x:c r="B11" s="15" t="str">
        <x:v>Ask completed customers for Google reviews.</x:v>
      </x:c>
      <x:c r="C11" s="15" t="str">
        <x:v>Automation</x:v>
      </x:c>
      <x:c r="D11" s="15" t="str">
        <x:v>Ready</x:v>
      </x:c>
    </x:row>
    <x:row r="12">
      <x:c r="A12" s="15" t="str">
        <x:v>YC</x:v>
      </x:c>
      <x:c r="B12" s="15" t="str">
        <x:v>Report weekly recovered revenue and conversion.</x:v>
      </x:c>
      <x:c r="C12" s="15" t="str">
        <x:v>Founder</x:v>
      </x:c>
      <x:c r="D12" s="15" t="str">
        <x:v>Ready</x:v>
      </x:c>
    </x:row>
    <x:row r="13">
      <x:c r="A13" s="15" t="str">
        <x:v>Product</x:v>
      </x:c>
      <x:c r="B13" s="15" t="str">
        <x:v>Add calendar sync after first pilots.</x:v>
      </x:c>
      <x:c r="C13" s="15" t="str">
        <x:v>Founder</x:v>
      </x:c>
      <x:c r="D13" s="15" t="str">
        <x:v>Later</x:v>
      </x:c>
    </x:row>
  </x:sheetData>
  <x:pageMargins left="0.7" right="0.7" top="0.75" bottom="0.75" header="0.3" footer="0.3"/>
</x:worksheet>
</file>